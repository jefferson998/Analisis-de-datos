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inar_Sistemas\Downloads\"/>
    </mc:Choice>
  </mc:AlternateContent>
  <xr:revisionPtr revIDLastSave="0" documentId="13_ncr:1_{EF797989-24EC-4286-8EFB-1CC925479FD4}" xr6:coauthVersionLast="47" xr6:coauthVersionMax="47" xr10:uidLastSave="{00000000-0000-0000-0000-000000000000}"/>
  <bookViews>
    <workbookView xWindow="-120" yWindow="-120" windowWidth="29040" windowHeight="15720" activeTab="4" xr2:uid="{0F88B2DD-12D0-4ADA-9ED8-8643453F07FE}"/>
  </bookViews>
  <sheets>
    <sheet name="cup_finals_21 (2)" sheetId="4" r:id="rId1"/>
    <sheet name="cup_finals_21" sheetId="2" r:id="rId2"/>
    <sheet name="Hoja1" sheetId="1" r:id="rId3"/>
    <sheet name="Hoja2" sheetId="3" r:id="rId4"/>
    <sheet name="actividad" sheetId="6" r:id="rId5"/>
    <sheet name="Hoja3" sheetId="5" r:id="rId6"/>
  </sheets>
  <definedNames>
    <definedName name="DatosExternos_1" localSheetId="4" hidden="1">actividad!$A$1:$D$34</definedName>
    <definedName name="DatosExternos_1" localSheetId="1" hidden="1">'cup_finals_21'!$A$1:$G$17</definedName>
    <definedName name="DatosExternos_2" localSheetId="0" hidden="1">'cup_finals_21 (2)'!#REF!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72B7A5-0608-4B2A-85B9-A53CD61FF5C3}" keepAlive="1" name="Consulta - actividad" description="Conexión a la consulta 'actividad' en el libro." type="5" refreshedVersion="8" background="1" saveData="1">
    <dbPr connection="Provider=Microsoft.Mashup.OleDb.1;Data Source=$Workbook$;Location=actividad;Extended Properties=&quot;&quot;" command="SELECT * FROM [actividad]"/>
  </connection>
  <connection id="2" xr16:uid="{BC567981-1127-4C42-99C3-D38675E1B8A0}" keepAlive="1" name="Consulta - cup_finals_21" description="Conexión a la consulta 'cup_finals_21' en el libro." type="5" refreshedVersion="8" background="1" saveData="1">
    <dbPr connection="Provider=Microsoft.Mashup.OleDb.1;Data Source=$Workbook$;Location=cup_finals_21;Extended Properties=&quot;&quot;" command="SELECT * FROM [cup_finals_21]"/>
  </connection>
  <connection id="3" xr16:uid="{1C142F02-3CFD-4BE7-9424-CE5C00412E64}" keepAlive="1" name="Consulta - cup_finals_21 (2)" description="Conexión a la consulta 'cup_finals_21 (2)' en el libro." type="5" refreshedVersion="0" background="1">
    <dbPr connection="Provider=Microsoft.Mashup.OleDb.1;Data Source=$Workbook$;Location=&quot;cup_finals_21 (2)&quot;;Extended Properties=&quot;&quot;" command="SELECT * FROM [cup_finals_21 (2)]"/>
  </connection>
</connections>
</file>

<file path=xl/sharedStrings.xml><?xml version="1.0" encoding="utf-8"?>
<sst xmlns="http://schemas.openxmlformats.org/spreadsheetml/2006/main" count="369" uniqueCount="179">
  <si>
    <t>Column1</t>
  </si>
  <si>
    <t>Column3</t>
  </si>
  <si>
    <t>Column4</t>
  </si>
  <si>
    <t>Column5</t>
  </si>
  <si>
    <t>Column6</t>
  </si>
  <si>
    <t>Column7</t>
  </si>
  <si>
    <t>Column8</t>
  </si>
  <si>
    <t>(49) Sat Jun/30</t>
  </si>
  <si>
    <t xml:space="preserve"> Uruguay</t>
  </si>
  <si>
    <t>2-1 (1-0)</t>
  </si>
  <si>
    <t xml:space="preserve"> Portugal</t>
  </si>
  <si>
    <t xml:space="preserve"> Fisht Stadium</t>
  </si>
  <si>
    <t xml:space="preserve"> Sochi </t>
  </si>
  <si>
    <t>[Edinson Cavani 7' 62'; Pepe 55']</t>
  </si>
  <si>
    <t>(50) Sat Jun/30</t>
  </si>
  <si>
    <t xml:space="preserve"> France</t>
  </si>
  <si>
    <t xml:space="preserve"> 4-3 (1-1)</t>
  </si>
  <si>
    <t xml:space="preserve"> Argentina</t>
  </si>
  <si>
    <t xml:space="preserve">  Kazan Arena</t>
  </si>
  <si>
    <t xml:space="preserve"> Kazan </t>
  </si>
  <si>
    <t>[Antoine Griezmann 13' (pen.) Benjamin Pavard 57' Kylian Mbappé 64', 68' Ángel Di María 41' Gabriel Mercado 48' Sergio Agüero 90+3']</t>
  </si>
  <si>
    <t>(51) Sun Jul/1</t>
  </si>
  <si>
    <t xml:space="preserve"> Spain</t>
  </si>
  <si>
    <t>3-4 pen. 1-1 a.e.t. (1-1, 1-1)</t>
  </si>
  <si>
    <t xml:space="preserve"> Russia</t>
  </si>
  <si>
    <t xml:space="preserve"> Luzhniki Stadium</t>
  </si>
  <si>
    <t xml:space="preserve"> Moscow </t>
  </si>
  <si>
    <t>[Sergei Ignashevich 12' (o.g.); Artem Dzyuba 41' (pen.)]</t>
  </si>
  <si>
    <t>(52) Sun Jul/1</t>
  </si>
  <si>
    <t xml:space="preserve"> Croatia</t>
  </si>
  <si>
    <t>3-2 pen. 1-1 a.e.t. (1-1, 1-1)</t>
  </si>
  <si>
    <t xml:space="preserve"> Denmark</t>
  </si>
  <si>
    <t xml:space="preserve">  Nizhny Novgorod Stadium</t>
  </si>
  <si>
    <t xml:space="preserve"> Nizhny Novgorod </t>
  </si>
  <si>
    <t>[Mario Mandžukić 4'; Mathias Jørgensen 1']</t>
  </si>
  <si>
    <t>(53) Mon Jul/2</t>
  </si>
  <si>
    <t xml:space="preserve"> Brazil</t>
  </si>
  <si>
    <t xml:space="preserve"> 2-0 (0-0)</t>
  </si>
  <si>
    <t xml:space="preserve"> Mexico</t>
  </si>
  <si>
    <t xml:space="preserve"> Samara Arena</t>
  </si>
  <si>
    <t xml:space="preserve"> Samara</t>
  </si>
  <si>
    <t>[Neymar 51' Roberto Firmino 88']</t>
  </si>
  <si>
    <t>(54) Mon Jul/2</t>
  </si>
  <si>
    <t>Belgium</t>
  </si>
  <si>
    <t>3-2 (0-0)</t>
  </si>
  <si>
    <t xml:space="preserve"> Japan</t>
  </si>
  <si>
    <t xml:space="preserve"> Rostov Arena</t>
  </si>
  <si>
    <t xml:space="preserve"> Rostov-on-Don </t>
  </si>
  <si>
    <t>[Jan Vertonghen 69' Marouane Fellaini 74' Nacer Chadli 90+4'; Genki Haraguchi 48' Takashi Inui 52']</t>
  </si>
  <si>
    <t>(55) Tue Jul/3</t>
  </si>
  <si>
    <t xml:space="preserve"> Sweden</t>
  </si>
  <si>
    <t xml:space="preserve"> 1-0 (0-0)</t>
  </si>
  <si>
    <t xml:space="preserve"> Switzerland</t>
  </si>
  <si>
    <t xml:space="preserve"> Saint Petersburg Stadium</t>
  </si>
  <si>
    <t xml:space="preserve"> Saint Petersburg </t>
  </si>
  <si>
    <t>[Emil Forsberg 66']</t>
  </si>
  <si>
    <t>(56) Tue Jul/3</t>
  </si>
  <si>
    <t xml:space="preserve"> Colombia</t>
  </si>
  <si>
    <t>3-4 pen. 1-1 a.e.t. (1-1, 0-0)</t>
  </si>
  <si>
    <t xml:space="preserve"> England</t>
  </si>
  <si>
    <t xml:space="preserve">  Spartak Stadium</t>
  </si>
  <si>
    <t>[Yerry Mina 90+3'; Harry Kane 57' (pen.)]</t>
  </si>
  <si>
    <t>(57) Fri Jul/6</t>
  </si>
  <si>
    <t>0-2 (0-1)</t>
  </si>
  <si>
    <t xml:space="preserve"> Nizhny Novgorod Stadium</t>
  </si>
  <si>
    <t>[-; Raphaël Varane 40' Antoine Griezmann 61']</t>
  </si>
  <si>
    <t>(58) Fri Jul/6</t>
  </si>
  <si>
    <t xml:space="preserve"> 1-2 (0-2)</t>
  </si>
  <si>
    <t xml:space="preserve"> Belgium</t>
  </si>
  <si>
    <t>[Renato Augusto 76'; Fernandinho 13' (o.g.) Kevin De Bruyne 31']</t>
  </si>
  <si>
    <t>(59) Sat Jul/7</t>
  </si>
  <si>
    <t xml:space="preserve">  Fisht Stadium</t>
  </si>
  <si>
    <t>[Denis Cheryshev 31' Mário Figueira Fernandes 115'; Andrej Kramarić 39' Domagoj Vida 100']</t>
  </si>
  <si>
    <t>(60) Sat Jul/7</t>
  </si>
  <si>
    <t xml:space="preserve"> 0-2 (0-1)</t>
  </si>
  <si>
    <t xml:space="preserve">  Samara Arena</t>
  </si>
  <si>
    <t xml:space="preserve"> Samara (UTC+4)</t>
  </si>
  <si>
    <t>[-; Harry Maguire 30' Dele Alli 58']</t>
  </si>
  <si>
    <t>(61) Tue Jul/10</t>
  </si>
  <si>
    <t>France</t>
  </si>
  <si>
    <t xml:space="preserve">  Saint Petersburg Stadium</t>
  </si>
  <si>
    <t xml:space="preserve"> St. Petersburg </t>
  </si>
  <si>
    <t>[Samuel Umtiti 51']</t>
  </si>
  <si>
    <t>(62) Wed Jul/11</t>
  </si>
  <si>
    <t>2-1 a.e.t. (1-1, 0-1)</t>
  </si>
  <si>
    <t xml:space="preserve">  Luzhniki Stadium</t>
  </si>
  <si>
    <t>[Ivan Perišić 68' Mario Mandžukić 109'; Kieran Trippier 5']</t>
  </si>
  <si>
    <t>(63) Sat Jul/14</t>
  </si>
  <si>
    <t>2-0 (1-0)</t>
  </si>
  <si>
    <t>England</t>
  </si>
  <si>
    <t>[Thomas Meunier 4' Eden Hazard 82']</t>
  </si>
  <si>
    <t>(64) Sun Jul/15</t>
  </si>
  <si>
    <t>4-2 (2-1)</t>
  </si>
  <si>
    <t>Croatia</t>
  </si>
  <si>
    <t>[Mandžukić 18' (o.g.) Griezmann 38' (pen.) Pogba 59' Mbappé 65'; Perišić 28' Mandžukić 69']</t>
  </si>
  <si>
    <t>Partido</t>
  </si>
  <si>
    <t>Round of 16            |  Sat Jun/30 - Tue Jul/3</t>
  </si>
  <si>
    <t>Quarter-finals         |  Fri Jul/6 - Sat Jul/7</t>
  </si>
  <si>
    <t>Semi-finals            |  Tue Jul/10 - Wed Jul/11</t>
  </si>
  <si>
    <t>Match for third place  |  Sat Jul/14</t>
  </si>
  <si>
    <t>Final                  |  Sun Jul/15</t>
  </si>
  <si>
    <t xml:space="preserve"> 3-4 pen. 2-2 a.e.t. (1-1 1-1)</t>
  </si>
  <si>
    <t>Edinson Cavani 7' 62'</t>
  </si>
  <si>
    <t xml:space="preserve"> Pepe 55'</t>
  </si>
  <si>
    <t>Antoine Griezmann 13' (pen.) Benjamin Pavard 57' Kylian Mbappé 64', 68' Ángel Di María 41' Gabriel Mercado 48' Sergio Agüero 90+3'</t>
  </si>
  <si>
    <t>-</t>
  </si>
  <si>
    <t>Sergei Ignashevich 12' (o.g.)</t>
  </si>
  <si>
    <t xml:space="preserve"> Artem Dzyuba 41' (pen.)</t>
  </si>
  <si>
    <t>Mario Mandžukić 4'</t>
  </si>
  <si>
    <t xml:space="preserve"> Mathias Jørgensen 1'</t>
  </si>
  <si>
    <t>Neymar 51' Roberto Firmino 88'</t>
  </si>
  <si>
    <t>Jan Vertonghen 69' Marouane Fellaini 74' Nacer Chadli 90+4'</t>
  </si>
  <si>
    <t xml:space="preserve"> Genki Haraguchi 48' Takashi Inui 52'</t>
  </si>
  <si>
    <t>Emil Forsberg 66'</t>
  </si>
  <si>
    <t>Yerry Mina 90+3'</t>
  </si>
  <si>
    <t xml:space="preserve"> Harry Kane 57' (pen.)</t>
  </si>
  <si>
    <t xml:space="preserve"> Raphaël Varane 40' Antoine Griezmann 61'</t>
  </si>
  <si>
    <t>Renato Augusto 76'</t>
  </si>
  <si>
    <t xml:space="preserve"> Fernandinho 13' (o.g.) Kevin De Bruyne 31'</t>
  </si>
  <si>
    <t>Denis Cheryshev 31' Mário Figueira Fernandes 115'</t>
  </si>
  <si>
    <t xml:space="preserve"> Andrej Kramarić 39' Domagoj Vida 100'</t>
  </si>
  <si>
    <t xml:space="preserve"> Samara </t>
  </si>
  <si>
    <t xml:space="preserve"> Harry Maguire 30' Dele Alli 58'</t>
  </si>
  <si>
    <t>Samuel Umtiti 51'</t>
  </si>
  <si>
    <t>Ivan Perišić 68' Mario Mandžukić 109'</t>
  </si>
  <si>
    <t xml:space="preserve"> Kieran Trippier 5'</t>
  </si>
  <si>
    <t>Thomas Meunier 4' Eden Hazard 82'</t>
  </si>
  <si>
    <t>Mandžukić 18' (o.g.) Griezmann 38' (pen.) Pogba 59' Mbappé 65'</t>
  </si>
  <si>
    <t xml:space="preserve"> Perišić 28' Mandžukić 69'</t>
  </si>
  <si>
    <t>Columna1</t>
  </si>
  <si>
    <t>Columna2</t>
  </si>
  <si>
    <t>Columna3</t>
  </si>
  <si>
    <t>Columna4</t>
  </si>
  <si>
    <t>Columna6</t>
  </si>
  <si>
    <t>Uruguay</t>
  </si>
  <si>
    <t>Russia</t>
  </si>
  <si>
    <t>Brazil</t>
  </si>
  <si>
    <t>Sweden</t>
  </si>
  <si>
    <t>Ganador</t>
  </si>
  <si>
    <t>País</t>
  </si>
  <si>
    <t>PIB 2017 (USD millones)</t>
  </si>
  <si>
    <t>PIB 2018 (USD millones)</t>
  </si>
  <si>
    <t>PIB 2019 (USD millones)</t>
  </si>
  <si>
    <t>Alemania</t>
  </si>
  <si>
    <t>Arabia Saudita</t>
  </si>
  <si>
    <t>Argentina</t>
  </si>
  <si>
    <t>Australia</t>
  </si>
  <si>
    <t>Bélgica</t>
  </si>
  <si>
    <t>Brasil</t>
  </si>
  <si>
    <t>Colombia</t>
  </si>
  <si>
    <t>Corea del Sur</t>
  </si>
  <si>
    <t>Costa Rica</t>
  </si>
  <si>
    <t>Croacia</t>
  </si>
  <si>
    <t>Dinamarca</t>
  </si>
  <si>
    <t>Egipto</t>
  </si>
  <si>
    <t>España</t>
  </si>
  <si>
    <t>Francia</t>
  </si>
  <si>
    <t>Inglaterra</t>
  </si>
  <si>
    <t>Irán</t>
  </si>
  <si>
    <t>Japón</t>
  </si>
  <si>
    <t>México</t>
  </si>
  <si>
    <t>Marruecos</t>
  </si>
  <si>
    <t>Nigeria</t>
  </si>
  <si>
    <t>Panamá</t>
  </si>
  <si>
    <t>Perú</t>
  </si>
  <si>
    <t>Polonia</t>
  </si>
  <si>
    <t>Portugal</t>
  </si>
  <si>
    <t>Rusia</t>
  </si>
  <si>
    <t>Senegal</t>
  </si>
  <si>
    <t>Suecia</t>
  </si>
  <si>
    <t>Suiza</t>
  </si>
  <si>
    <t>Tailandia</t>
  </si>
  <si>
    <t>Túnez</t>
  </si>
  <si>
    <t>Costa de Marfil</t>
  </si>
  <si>
    <t/>
  </si>
  <si>
    <t>Columna7</t>
  </si>
  <si>
    <t>Columna8</t>
  </si>
  <si>
    <t>Columna9</t>
  </si>
  <si>
    <t>=BUSCARV("Uruguay", A2:D4, 3, FALSO)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</si>
</sst>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ont="1" applyFill="1" applyBorder="1"/>
    <xf numFmtId="0" fontId="0" fillId="0" borderId="1" xfId="0" applyFont="1" applyBorder="1"/>
    <xf numFmtId="0" fontId="0" fillId="0" borderId="0" xfId="0" applyNumberFormat="1"/>
    <xf numFmtId="0" fontId="0" fillId="3" borderId="2" xfId="0" applyFont="1" applyFill="1" applyBorder="1"/>
    <xf numFmtId="0" fontId="0" fillId="0" borderId="2" xfId="0" applyFont="1" applyBorder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actividad!$B$1</c:f>
              <c:strCache>
                <c:ptCount val="1"/>
                <c:pt idx="0">
                  <c:v>PIB 2017 (USD millones)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actividad!$A$2:$A$33</c:f>
              <c:strCache>
                <c:ptCount val="32"/>
                <c:pt idx="0">
                  <c:v>Senegal</c:v>
                </c:pt>
                <c:pt idx="1">
                  <c:v>Túnez</c:v>
                </c:pt>
                <c:pt idx="2">
                  <c:v>Costa de Marfil</c:v>
                </c:pt>
                <c:pt idx="3">
                  <c:v>Panamá</c:v>
                </c:pt>
                <c:pt idx="4">
                  <c:v>Costa Rica</c:v>
                </c:pt>
                <c:pt idx="5">
                  <c:v>Croacia</c:v>
                </c:pt>
                <c:pt idx="6">
                  <c:v>Uruguay</c:v>
                </c:pt>
                <c:pt idx="7">
                  <c:v>Marruecos</c:v>
                </c:pt>
                <c:pt idx="8">
                  <c:v>Portugal</c:v>
                </c:pt>
                <c:pt idx="9">
                  <c:v>Egipto</c:v>
                </c:pt>
                <c:pt idx="10">
                  <c:v>Dinamarca</c:v>
                </c:pt>
                <c:pt idx="11">
                  <c:v>Colombia</c:v>
                </c:pt>
                <c:pt idx="12">
                  <c:v>Nigeria</c:v>
                </c:pt>
                <c:pt idx="13">
                  <c:v>Perú</c:v>
                </c:pt>
                <c:pt idx="14">
                  <c:v>Irán</c:v>
                </c:pt>
                <c:pt idx="15">
                  <c:v>Tailandia</c:v>
                </c:pt>
                <c:pt idx="16">
                  <c:v>Suecia</c:v>
                </c:pt>
                <c:pt idx="17">
                  <c:v>Polonia</c:v>
                </c:pt>
                <c:pt idx="18">
                  <c:v>Argentina</c:v>
                </c:pt>
                <c:pt idx="19">
                  <c:v>Suiza</c:v>
                </c:pt>
                <c:pt idx="20">
                  <c:v>Arabia Saudita</c:v>
                </c:pt>
                <c:pt idx="21">
                  <c:v>México</c:v>
                </c:pt>
                <c:pt idx="22">
                  <c:v>España</c:v>
                </c:pt>
                <c:pt idx="23">
                  <c:v>Australia</c:v>
                </c:pt>
                <c:pt idx="24">
                  <c:v>Rusia</c:v>
                </c:pt>
                <c:pt idx="25">
                  <c:v>Bélgica</c:v>
                </c:pt>
                <c:pt idx="26">
                  <c:v>Corea del Sur</c:v>
                </c:pt>
                <c:pt idx="27">
                  <c:v>Brasil</c:v>
                </c:pt>
                <c:pt idx="28">
                  <c:v>Francia</c:v>
                </c:pt>
                <c:pt idx="29">
                  <c:v>Inglaterra</c:v>
                </c:pt>
                <c:pt idx="30">
                  <c:v>Alemania</c:v>
                </c:pt>
                <c:pt idx="31">
                  <c:v>Japón</c:v>
                </c:pt>
              </c:strCache>
            </c:strRef>
          </c:cat>
          <c:val>
            <c:numRef>
              <c:f>actividad!$B$2:$B$33</c:f>
              <c:numCache>
                <c:formatCode>General</c:formatCode>
                <c:ptCount val="32"/>
                <c:pt idx="0">
                  <c:v>15000</c:v>
                </c:pt>
                <c:pt idx="1">
                  <c:v>42000</c:v>
                </c:pt>
                <c:pt idx="2">
                  <c:v>59000</c:v>
                </c:pt>
                <c:pt idx="3">
                  <c:v>56000</c:v>
                </c:pt>
                <c:pt idx="4">
                  <c:v>58000</c:v>
                </c:pt>
                <c:pt idx="5">
                  <c:v>60000</c:v>
                </c:pt>
                <c:pt idx="6">
                  <c:v>60000</c:v>
                </c:pt>
                <c:pt idx="7">
                  <c:v>103000</c:v>
                </c:pt>
                <c:pt idx="8">
                  <c:v>214000</c:v>
                </c:pt>
                <c:pt idx="9">
                  <c:v>235000</c:v>
                </c:pt>
                <c:pt idx="10">
                  <c:v>306000</c:v>
                </c:pt>
                <c:pt idx="11">
                  <c:v>350000</c:v>
                </c:pt>
                <c:pt idx="12">
                  <c:v>375000</c:v>
                </c:pt>
                <c:pt idx="13">
                  <c:v>350000</c:v>
                </c:pt>
                <c:pt idx="14">
                  <c:v>445000</c:v>
                </c:pt>
                <c:pt idx="15">
                  <c:v>455000</c:v>
                </c:pt>
                <c:pt idx="16">
                  <c:v>555000</c:v>
                </c:pt>
                <c:pt idx="17">
                  <c:v>524000</c:v>
                </c:pt>
                <c:pt idx="18">
                  <c:v>637000</c:v>
                </c:pt>
                <c:pt idx="19">
                  <c:v>703000</c:v>
                </c:pt>
                <c:pt idx="20">
                  <c:v>646000</c:v>
                </c:pt>
                <c:pt idx="21">
                  <c:v>1151000</c:v>
                </c:pt>
                <c:pt idx="22">
                  <c:v>1170024</c:v>
                </c:pt>
                <c:pt idx="23">
                  <c:v>1372000</c:v>
                </c:pt>
                <c:pt idx="24">
                  <c:v>1300000</c:v>
                </c:pt>
                <c:pt idx="25">
                  <c:v>1500000</c:v>
                </c:pt>
                <c:pt idx="26">
                  <c:v>1530000</c:v>
                </c:pt>
                <c:pt idx="27">
                  <c:v>2055000</c:v>
                </c:pt>
                <c:pt idx="28">
                  <c:v>2775000</c:v>
                </c:pt>
                <c:pt idx="29">
                  <c:v>2600000</c:v>
                </c:pt>
                <c:pt idx="30">
                  <c:v>3693000</c:v>
                </c:pt>
                <c:pt idx="31">
                  <c:v>4872000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5-4D77-A134-B2754F940D3D}"/>
            </c:ext>
          </c:extLst>
        </c:ser>
        <c:ser>
          <c:idx val="1"/>
          <c:order val="1"/>
          <c:tx>
            <c:strRef>
              <c:f>actividad!$C$1</c:f>
              <c:strCache>
                <c:ptCount val="1"/>
                <c:pt idx="0">
                  <c:v>PIB 2018 (USD millones)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actividad!$A$2:$A$33</c:f>
              <c:strCache>
                <c:ptCount val="32"/>
                <c:pt idx="0">
                  <c:v>Senegal</c:v>
                </c:pt>
                <c:pt idx="1">
                  <c:v>Túnez</c:v>
                </c:pt>
                <c:pt idx="2">
                  <c:v>Costa de Marfil</c:v>
                </c:pt>
                <c:pt idx="3">
                  <c:v>Panamá</c:v>
                </c:pt>
                <c:pt idx="4">
                  <c:v>Costa Rica</c:v>
                </c:pt>
                <c:pt idx="5">
                  <c:v>Croacia</c:v>
                </c:pt>
                <c:pt idx="6">
                  <c:v>Uruguay</c:v>
                </c:pt>
                <c:pt idx="7">
                  <c:v>Marruecos</c:v>
                </c:pt>
                <c:pt idx="8">
                  <c:v>Portugal</c:v>
                </c:pt>
                <c:pt idx="9">
                  <c:v>Egipto</c:v>
                </c:pt>
                <c:pt idx="10">
                  <c:v>Dinamarca</c:v>
                </c:pt>
                <c:pt idx="11">
                  <c:v>Colombia</c:v>
                </c:pt>
                <c:pt idx="12">
                  <c:v>Nigeria</c:v>
                </c:pt>
                <c:pt idx="13">
                  <c:v>Perú</c:v>
                </c:pt>
                <c:pt idx="14">
                  <c:v>Irán</c:v>
                </c:pt>
                <c:pt idx="15">
                  <c:v>Tailandia</c:v>
                </c:pt>
                <c:pt idx="16">
                  <c:v>Suecia</c:v>
                </c:pt>
                <c:pt idx="17">
                  <c:v>Polonia</c:v>
                </c:pt>
                <c:pt idx="18">
                  <c:v>Argentina</c:v>
                </c:pt>
                <c:pt idx="19">
                  <c:v>Suiza</c:v>
                </c:pt>
                <c:pt idx="20">
                  <c:v>Arabia Saudita</c:v>
                </c:pt>
                <c:pt idx="21">
                  <c:v>México</c:v>
                </c:pt>
                <c:pt idx="22">
                  <c:v>España</c:v>
                </c:pt>
                <c:pt idx="23">
                  <c:v>Australia</c:v>
                </c:pt>
                <c:pt idx="24">
                  <c:v>Rusia</c:v>
                </c:pt>
                <c:pt idx="25">
                  <c:v>Bélgica</c:v>
                </c:pt>
                <c:pt idx="26">
                  <c:v>Corea del Sur</c:v>
                </c:pt>
                <c:pt idx="27">
                  <c:v>Brasil</c:v>
                </c:pt>
                <c:pt idx="28">
                  <c:v>Francia</c:v>
                </c:pt>
                <c:pt idx="29">
                  <c:v>Inglaterra</c:v>
                </c:pt>
                <c:pt idx="30">
                  <c:v>Alemania</c:v>
                </c:pt>
                <c:pt idx="31">
                  <c:v>Japón</c:v>
                </c:pt>
              </c:strCache>
            </c:strRef>
          </c:cat>
          <c:val>
            <c:numRef>
              <c:f>actividad!$C$2:$C$33</c:f>
              <c:numCache>
                <c:formatCode>General</c:formatCode>
                <c:ptCount val="32"/>
                <c:pt idx="0">
                  <c:v>18000</c:v>
                </c:pt>
                <c:pt idx="1">
                  <c:v>41000</c:v>
                </c:pt>
                <c:pt idx="2">
                  <c:v>59000</c:v>
                </c:pt>
                <c:pt idx="3">
                  <c:v>58000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119000</c:v>
                </c:pt>
                <c:pt idx="8">
                  <c:v>222000</c:v>
                </c:pt>
                <c:pt idx="9">
                  <c:v>249000</c:v>
                </c:pt>
                <c:pt idx="10">
                  <c:v>320000</c:v>
                </c:pt>
                <c:pt idx="11">
                  <c:v>350000</c:v>
                </c:pt>
                <c:pt idx="12">
                  <c:v>397000</c:v>
                </c:pt>
                <c:pt idx="13">
                  <c:v>440000</c:v>
                </c:pt>
                <c:pt idx="14">
                  <c:v>456000</c:v>
                </c:pt>
                <c:pt idx="15">
                  <c:v>502000</c:v>
                </c:pt>
                <c:pt idx="16">
                  <c:v>561000</c:v>
                </c:pt>
                <c:pt idx="17">
                  <c:v>586000</c:v>
                </c:pt>
                <c:pt idx="18">
                  <c:v>637000</c:v>
                </c:pt>
                <c:pt idx="19">
                  <c:v>715000</c:v>
                </c:pt>
                <c:pt idx="20">
                  <c:v>786000</c:v>
                </c:pt>
                <c:pt idx="21">
                  <c:v>1220000</c:v>
                </c:pt>
                <c:pt idx="22">
                  <c:v>1212276</c:v>
                </c:pt>
                <c:pt idx="23">
                  <c:v>1430000</c:v>
                </c:pt>
                <c:pt idx="24">
                  <c:v>1300000</c:v>
                </c:pt>
                <c:pt idx="25">
                  <c:v>1600000</c:v>
                </c:pt>
                <c:pt idx="26">
                  <c:v>1630000</c:v>
                </c:pt>
                <c:pt idx="27">
                  <c:v>2100000</c:v>
                </c:pt>
                <c:pt idx="28">
                  <c:v>2780000</c:v>
                </c:pt>
                <c:pt idx="29">
                  <c:v>2700000</c:v>
                </c:pt>
                <c:pt idx="30">
                  <c:v>3950000</c:v>
                </c:pt>
                <c:pt idx="31">
                  <c:v>4970000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65-4D77-A134-B2754F940D3D}"/>
            </c:ext>
          </c:extLst>
        </c:ser>
        <c:ser>
          <c:idx val="2"/>
          <c:order val="2"/>
          <c:tx>
            <c:strRef>
              <c:f>actividad!$D$1</c:f>
              <c:strCache>
                <c:ptCount val="1"/>
                <c:pt idx="0">
                  <c:v>PIB 2019 (USD millones)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actividad!$A$2:$A$33</c:f>
              <c:strCache>
                <c:ptCount val="32"/>
                <c:pt idx="0">
                  <c:v>Senegal</c:v>
                </c:pt>
                <c:pt idx="1">
                  <c:v>Túnez</c:v>
                </c:pt>
                <c:pt idx="2">
                  <c:v>Costa de Marfil</c:v>
                </c:pt>
                <c:pt idx="3">
                  <c:v>Panamá</c:v>
                </c:pt>
                <c:pt idx="4">
                  <c:v>Costa Rica</c:v>
                </c:pt>
                <c:pt idx="5">
                  <c:v>Croacia</c:v>
                </c:pt>
                <c:pt idx="6">
                  <c:v>Uruguay</c:v>
                </c:pt>
                <c:pt idx="7">
                  <c:v>Marruecos</c:v>
                </c:pt>
                <c:pt idx="8">
                  <c:v>Portugal</c:v>
                </c:pt>
                <c:pt idx="9">
                  <c:v>Egipto</c:v>
                </c:pt>
                <c:pt idx="10">
                  <c:v>Dinamarca</c:v>
                </c:pt>
                <c:pt idx="11">
                  <c:v>Colombia</c:v>
                </c:pt>
                <c:pt idx="12">
                  <c:v>Nigeria</c:v>
                </c:pt>
                <c:pt idx="13">
                  <c:v>Perú</c:v>
                </c:pt>
                <c:pt idx="14">
                  <c:v>Irán</c:v>
                </c:pt>
                <c:pt idx="15">
                  <c:v>Tailandia</c:v>
                </c:pt>
                <c:pt idx="16">
                  <c:v>Suecia</c:v>
                </c:pt>
                <c:pt idx="17">
                  <c:v>Polonia</c:v>
                </c:pt>
                <c:pt idx="18">
                  <c:v>Argentina</c:v>
                </c:pt>
                <c:pt idx="19">
                  <c:v>Suiza</c:v>
                </c:pt>
                <c:pt idx="20">
                  <c:v>Arabia Saudita</c:v>
                </c:pt>
                <c:pt idx="21">
                  <c:v>México</c:v>
                </c:pt>
                <c:pt idx="22">
                  <c:v>España</c:v>
                </c:pt>
                <c:pt idx="23">
                  <c:v>Australia</c:v>
                </c:pt>
                <c:pt idx="24">
                  <c:v>Rusia</c:v>
                </c:pt>
                <c:pt idx="25">
                  <c:v>Bélgica</c:v>
                </c:pt>
                <c:pt idx="26">
                  <c:v>Corea del Sur</c:v>
                </c:pt>
                <c:pt idx="27">
                  <c:v>Brasil</c:v>
                </c:pt>
                <c:pt idx="28">
                  <c:v>Francia</c:v>
                </c:pt>
                <c:pt idx="29">
                  <c:v>Inglaterra</c:v>
                </c:pt>
                <c:pt idx="30">
                  <c:v>Alemania</c:v>
                </c:pt>
                <c:pt idx="31">
                  <c:v>Japón</c:v>
                </c:pt>
              </c:strCache>
            </c:strRef>
          </c:cat>
          <c:val>
            <c:numRef>
              <c:f>actividad!$D$2:$D$33</c:f>
              <c:numCache>
                <c:formatCode>General</c:formatCode>
                <c:ptCount val="32"/>
                <c:pt idx="0">
                  <c:v>19000</c:v>
                </c:pt>
                <c:pt idx="1">
                  <c:v>44000</c:v>
                </c:pt>
                <c:pt idx="2">
                  <c:v>61000</c:v>
                </c:pt>
                <c:pt idx="3">
                  <c:v>61000</c:v>
                </c:pt>
                <c:pt idx="4">
                  <c:v>62000</c:v>
                </c:pt>
                <c:pt idx="5">
                  <c:v>65000</c:v>
                </c:pt>
                <c:pt idx="6">
                  <c:v>65000</c:v>
                </c:pt>
                <c:pt idx="7">
                  <c:v>119000</c:v>
                </c:pt>
                <c:pt idx="8">
                  <c:v>240000</c:v>
                </c:pt>
                <c:pt idx="9">
                  <c:v>258000</c:v>
                </c:pt>
                <c:pt idx="10">
                  <c:v>335000</c:v>
                </c:pt>
                <c:pt idx="11">
                  <c:v>400000</c:v>
                </c:pt>
                <c:pt idx="12">
                  <c:v>450000</c:v>
                </c:pt>
                <c:pt idx="13">
                  <c:v>470000</c:v>
                </c:pt>
                <c:pt idx="14">
                  <c:v>495000</c:v>
                </c:pt>
                <c:pt idx="15">
                  <c:v>510000</c:v>
                </c:pt>
                <c:pt idx="16">
                  <c:v>577000</c:v>
                </c:pt>
                <c:pt idx="17">
                  <c:v>594000</c:v>
                </c:pt>
                <c:pt idx="18">
                  <c:v>600000</c:v>
                </c:pt>
                <c:pt idx="19">
                  <c:v>720000</c:v>
                </c:pt>
                <c:pt idx="20">
                  <c:v>792000</c:v>
                </c:pt>
                <c:pt idx="21">
                  <c:v>1270000</c:v>
                </c:pt>
                <c:pt idx="22">
                  <c:v>1300000</c:v>
                </c:pt>
                <c:pt idx="23">
                  <c:v>1400000</c:v>
                </c:pt>
                <c:pt idx="24">
                  <c:v>1400000</c:v>
                </c:pt>
                <c:pt idx="25">
                  <c:v>1500000</c:v>
                </c:pt>
                <c:pt idx="26">
                  <c:v>1630000</c:v>
                </c:pt>
                <c:pt idx="27">
                  <c:v>2200000</c:v>
                </c:pt>
                <c:pt idx="28">
                  <c:v>2700000</c:v>
                </c:pt>
                <c:pt idx="29">
                  <c:v>2800000</c:v>
                </c:pt>
                <c:pt idx="30">
                  <c:v>3800000</c:v>
                </c:pt>
                <c:pt idx="31">
                  <c:v>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65-4D77-A134-B2754F940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471119"/>
        <c:axId val="597487919"/>
      </c:barChart>
      <c:catAx>
        <c:axId val="59747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97487919"/>
        <c:crosses val="autoZero"/>
        <c:auto val="1"/>
        <c:lblAlgn val="ctr"/>
        <c:lblOffset val="100"/>
        <c:noMultiLvlLbl val="0"/>
      </c:catAx>
      <c:valAx>
        <c:axId val="59748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9747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266699</xdr:colOff>
      <xdr:row>3</xdr:row>
      <xdr:rowOff>4762</xdr:rowOff>
    </xdr:from>
    <xdr:to>
      <xdr:col>21</xdr:col>
      <xdr:colOff>752474</xdr:colOff>
      <xdr:row>24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992FC7-4774-8453-DAAC-387BA4933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230379B-4A02-4A94-A7B4-077ACD0CC26F}" autoFormatId="16" applyNumberFormats="0" applyBorderFormats="0" applyFontFormats="0" applyPatternFormats="0" applyAlignmentFormats="0" applyWidthHeightFormats="0">
  <queryTableRefresh nextId="9">
    <queryTableFields count="7">
      <queryTableField id="1" name="Column1" tableColumnId="1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  <queryTableDeletedFields count="1">
      <deletedField name="Column2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393C6B5-896A-4766-B896-CD3407DDAC1D}" autoFormatId="16" applyNumberFormats="0" applyBorderFormats="0" applyFontFormats="0" applyPatternFormats="0" applyAlignmentFormats="0" applyWidthHeightFormats="0">
  <queryTableRefresh nextId="5">
    <queryTableFields count="4">
      <queryTableField id="1" name="País" tableColumnId="1"/>
      <queryTableField id="2" name="PIB 2017 (USD millones)" tableColumnId="2"/>
      <queryTableField id="3" name="PIB 2018 (USD millones)" tableColumnId="3"/>
      <queryTableField id="4" name="PIB 2019 (USD millones)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CCD78-D871-4C67-B14F-DA89CD3BD1CC}" name="Tabla5" displayName="Tabla5" ref="C2:K19" totalsRowShown="0">
  <autoFilter ref="C2:K19" xr:uid="{9B1CCD78-D871-4C67-B14F-DA89CD3BD1CC}"/>
  <tableColumns count="9">
    <tableColumn id="1" xr3:uid="{C47797F5-0C90-4C7B-B8EF-8328B7AAA360}" name="Columna1"/>
    <tableColumn id="2" xr3:uid="{EEBF5E21-07C3-494C-8868-0A6235BC52E4}" name="Columna2"/>
    <tableColumn id="3" xr3:uid="{D873ABC6-D2DA-4E23-9A01-2718005EB0A3}" name="Columna3"/>
    <tableColumn id="4" xr3:uid="{D93CB18E-9469-411F-83AE-D8D948F4A633}" name="Columna4"/>
    <tableColumn id="5" xr3:uid="{3F7A5DE2-151B-4BEA-B787-BDE3D530F933}" name="Ganador"/>
    <tableColumn id="6" xr3:uid="{20181AFC-4BB1-4420-AACA-F8B864C00048}" name="Columna6"/>
    <tableColumn id="7" xr3:uid="{2FC94D55-C079-4499-8663-BA6A36307BFA}" name="Columna7"/>
    <tableColumn id="8" xr3:uid="{F3C5E076-D73A-4C97-8752-DF61AEFFFFF6}" name="Columna8"/>
    <tableColumn id="9" xr3:uid="{940D025C-9FDE-4A99-85D7-89D9FADFDC1D}" name="Columna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6344D8-C123-4B37-810D-C75713DCBC69}" name="cup_finals_21" displayName="cup_finals_21" ref="A1:G17" tableType="queryTable" totalsRowShown="0">
  <autoFilter ref="A1:G17" xr:uid="{CD6344D8-C123-4B37-810D-C75713DCBC69}"/>
  <tableColumns count="7">
    <tableColumn id="1" xr3:uid="{6F55F4B2-A47A-4B6A-8DCF-262A96875E40}" uniqueName="1" name="Column1" queryTableFieldId="1" dataDxfId="7"/>
    <tableColumn id="3" xr3:uid="{BB6D20A3-E611-42BC-8BD8-99C631311257}" uniqueName="3" name="Column3" queryTableFieldId="3" dataDxfId="6"/>
    <tableColumn id="4" xr3:uid="{5582F5FB-09F6-4285-9A56-1CAF23D56D0A}" uniqueName="4" name="Column4" queryTableFieldId="4" dataDxfId="5"/>
    <tableColumn id="5" xr3:uid="{8BA4FA5F-6A76-4158-ABF4-6137A70C5075}" uniqueName="5" name="Column5" queryTableFieldId="5" dataDxfId="4"/>
    <tableColumn id="6" xr3:uid="{0D2A339F-27A5-4D78-9DEB-4FF7836177C3}" uniqueName="6" name="Column6" queryTableFieldId="6" dataDxfId="3"/>
    <tableColumn id="7" xr3:uid="{C3F88622-9174-4524-99ED-D3F3DF14BA79}" uniqueName="7" name="Column7" queryTableFieldId="7" dataDxfId="2"/>
    <tableColumn id="8" xr3:uid="{7FF99BDD-C199-4B63-952D-796D91F00E79}" uniqueName="8" name="Column8" queryTableFieldId="8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3D531E-C95C-4627-A512-B18F04954B9B}" name="actividad" displayName="actividad" ref="A1:D34" tableType="queryTable" totalsRowShown="0">
  <autoFilter ref="A1:D34" xr:uid="{8F3D531E-C95C-4627-A512-B18F04954B9B}"/>
  <sortState xmlns:xlrd2="http://schemas.microsoft.com/office/spreadsheetml/2017/richdata2" ref="A2:D34">
    <sortCondition ref="D1:D34"/>
  </sortState>
  <tableColumns count="4">
    <tableColumn id="1" xr3:uid="{0439F920-2EC5-4EF7-96E2-5DD5542C2EB1}" uniqueName="1" name="País" queryTableFieldId="1" dataDxfId="0"/>
    <tableColumn id="2" xr3:uid="{08DD52A4-E536-4E08-9B85-7390865C988D}" uniqueName="2" name="PIB 2017 (USD millones)" queryTableFieldId="2"/>
    <tableColumn id="3" xr3:uid="{DFF90139-EDC1-4B0B-802C-A371D18E6195}" uniqueName="3" name="PIB 2018 (USD millones)" queryTableFieldId="3"/>
    <tableColumn id="4" xr3:uid="{D1C7F3A4-43A0-47B1-8574-160F2C0E14F5}" uniqueName="4" name="PIB 2019 (USD millones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4316D-A253-4CEF-998A-FE2C48AAE8EA}">
  <dimension ref="C2:K18"/>
  <sheetViews>
    <sheetView workbookViewId="0">
      <selection activeCell="F3" sqref="F3:F18"/>
    </sheetView>
  </sheetViews>
  <sheetFormatPr baseColWidth="10" defaultRowHeight="15" x14ac:dyDescent="0.25"/>
  <cols>
    <col min="1" max="1" width="16.140625" bestFit="1" customWidth="1"/>
    <col min="2" max="2" width="11.140625" bestFit="1" customWidth="1"/>
    <col min="3" max="3" width="24.85546875" bestFit="1" customWidth="1"/>
    <col min="4" max="4" width="12" customWidth="1"/>
    <col min="5" max="5" width="25.140625" bestFit="1" customWidth="1"/>
    <col min="6" max="6" width="16" customWidth="1"/>
    <col min="7" max="7" width="25.140625" bestFit="1" customWidth="1"/>
    <col min="8" max="9" width="17.28515625" bestFit="1" customWidth="1"/>
    <col min="10" max="10" width="119.42578125" bestFit="1" customWidth="1"/>
    <col min="11" max="11" width="39.28515625" bestFit="1" customWidth="1"/>
  </cols>
  <sheetData>
    <row r="2" spans="3:11" ht="14.25" customHeight="1" x14ac:dyDescent="0.25">
      <c r="C2" t="s">
        <v>129</v>
      </c>
      <c r="D2" t="s">
        <v>130</v>
      </c>
      <c r="E2" t="s">
        <v>131</v>
      </c>
      <c r="F2" t="s">
        <v>132</v>
      </c>
      <c r="G2" t="s">
        <v>138</v>
      </c>
      <c r="H2" t="s">
        <v>133</v>
      </c>
      <c r="I2" t="s">
        <v>175</v>
      </c>
      <c r="J2" t="s">
        <v>176</v>
      </c>
      <c r="K2" t="s">
        <v>177</v>
      </c>
    </row>
    <row r="3" spans="3:11" x14ac:dyDescent="0.25">
      <c r="C3" t="s">
        <v>7</v>
      </c>
      <c r="D3" t="s">
        <v>8</v>
      </c>
      <c r="E3" t="s">
        <v>9</v>
      </c>
      <c r="F3" t="s">
        <v>10</v>
      </c>
      <c r="G3" t="s">
        <v>134</v>
      </c>
      <c r="H3" t="s">
        <v>11</v>
      </c>
      <c r="I3" t="s">
        <v>12</v>
      </c>
      <c r="J3" t="s">
        <v>102</v>
      </c>
      <c r="K3" t="s">
        <v>103</v>
      </c>
    </row>
    <row r="4" spans="3:11" x14ac:dyDescent="0.25">
      <c r="C4" t="s">
        <v>14</v>
      </c>
      <c r="D4" t="s">
        <v>15</v>
      </c>
      <c r="E4" t="s">
        <v>16</v>
      </c>
      <c r="F4" t="s">
        <v>17</v>
      </c>
      <c r="G4" t="s">
        <v>79</v>
      </c>
      <c r="H4" t="s">
        <v>18</v>
      </c>
      <c r="I4" t="s">
        <v>19</v>
      </c>
      <c r="J4" t="s">
        <v>104</v>
      </c>
      <c r="K4" t="s">
        <v>105</v>
      </c>
    </row>
    <row r="5" spans="3:11" x14ac:dyDescent="0.25">
      <c r="C5" t="s">
        <v>21</v>
      </c>
      <c r="D5" t="s">
        <v>22</v>
      </c>
      <c r="E5" t="s">
        <v>23</v>
      </c>
      <c r="F5" t="s">
        <v>24</v>
      </c>
      <c r="G5" t="s">
        <v>135</v>
      </c>
      <c r="H5" t="s">
        <v>25</v>
      </c>
      <c r="I5" t="s">
        <v>26</v>
      </c>
      <c r="J5" t="s">
        <v>106</v>
      </c>
      <c r="K5" t="s">
        <v>107</v>
      </c>
    </row>
    <row r="6" spans="3:11" x14ac:dyDescent="0.25">
      <c r="C6" t="s">
        <v>28</v>
      </c>
      <c r="D6" t="s">
        <v>29</v>
      </c>
      <c r="E6" t="s">
        <v>30</v>
      </c>
      <c r="F6" t="s">
        <v>31</v>
      </c>
      <c r="G6" t="s">
        <v>93</v>
      </c>
      <c r="H6" t="s">
        <v>32</v>
      </c>
      <c r="I6" t="s">
        <v>33</v>
      </c>
      <c r="J6" t="s">
        <v>108</v>
      </c>
      <c r="K6" t="s">
        <v>109</v>
      </c>
    </row>
    <row r="7" spans="3:11" x14ac:dyDescent="0.25">
      <c r="C7" t="s">
        <v>35</v>
      </c>
      <c r="D7" t="s">
        <v>36</v>
      </c>
      <c r="E7" t="s">
        <v>37</v>
      </c>
      <c r="F7" t="s">
        <v>38</v>
      </c>
      <c r="G7" t="s">
        <v>136</v>
      </c>
      <c r="H7" t="s">
        <v>39</v>
      </c>
      <c r="I7" t="s">
        <v>40</v>
      </c>
      <c r="J7" t="s">
        <v>110</v>
      </c>
      <c r="K7" t="s">
        <v>105</v>
      </c>
    </row>
    <row r="8" spans="3:11" x14ac:dyDescent="0.25">
      <c r="C8" t="s">
        <v>42</v>
      </c>
      <c r="D8" t="s">
        <v>43</v>
      </c>
      <c r="E8" t="s">
        <v>44</v>
      </c>
      <c r="F8" t="s">
        <v>45</v>
      </c>
      <c r="G8" t="s">
        <v>43</v>
      </c>
      <c r="H8" t="s">
        <v>46</v>
      </c>
      <c r="I8" t="s">
        <v>47</v>
      </c>
      <c r="J8" t="s">
        <v>111</v>
      </c>
      <c r="K8" t="s">
        <v>112</v>
      </c>
    </row>
    <row r="9" spans="3:11" x14ac:dyDescent="0.25">
      <c r="C9" t="s">
        <v>49</v>
      </c>
      <c r="D9" t="s">
        <v>50</v>
      </c>
      <c r="E9" t="s">
        <v>51</v>
      </c>
      <c r="F9" t="s">
        <v>52</v>
      </c>
      <c r="G9" t="s">
        <v>137</v>
      </c>
      <c r="H9" t="s">
        <v>53</v>
      </c>
      <c r="I9" t="s">
        <v>54</v>
      </c>
      <c r="J9" t="s">
        <v>113</v>
      </c>
      <c r="K9" t="s">
        <v>105</v>
      </c>
    </row>
    <row r="10" spans="3:11" x14ac:dyDescent="0.25">
      <c r="C10" t="s">
        <v>56</v>
      </c>
      <c r="D10" t="s">
        <v>57</v>
      </c>
      <c r="E10" t="s">
        <v>58</v>
      </c>
      <c r="F10" t="s">
        <v>59</v>
      </c>
      <c r="G10" t="s">
        <v>89</v>
      </c>
      <c r="H10" t="s">
        <v>60</v>
      </c>
      <c r="I10" t="s">
        <v>26</v>
      </c>
      <c r="J10" t="s">
        <v>114</v>
      </c>
      <c r="K10" t="s">
        <v>115</v>
      </c>
    </row>
    <row r="11" spans="3:11" x14ac:dyDescent="0.25">
      <c r="C11" t="s">
        <v>62</v>
      </c>
      <c r="D11" t="s">
        <v>8</v>
      </c>
      <c r="E11" t="s">
        <v>63</v>
      </c>
      <c r="F11" t="s">
        <v>15</v>
      </c>
      <c r="G11" t="s">
        <v>79</v>
      </c>
      <c r="H11" t="s">
        <v>64</v>
      </c>
      <c r="I11" t="s">
        <v>33</v>
      </c>
      <c r="J11" t="s">
        <v>105</v>
      </c>
      <c r="K11" t="s">
        <v>116</v>
      </c>
    </row>
    <row r="12" spans="3:11" x14ac:dyDescent="0.25">
      <c r="C12" t="s">
        <v>66</v>
      </c>
      <c r="D12" t="s">
        <v>36</v>
      </c>
      <c r="E12" t="s">
        <v>67</v>
      </c>
      <c r="F12" t="s">
        <v>68</v>
      </c>
      <c r="G12" t="s">
        <v>43</v>
      </c>
      <c r="H12" t="s">
        <v>18</v>
      </c>
      <c r="I12" t="s">
        <v>19</v>
      </c>
      <c r="J12" t="s">
        <v>117</v>
      </c>
      <c r="K12" t="s">
        <v>118</v>
      </c>
    </row>
    <row r="13" spans="3:11" x14ac:dyDescent="0.25">
      <c r="C13" t="s">
        <v>70</v>
      </c>
      <c r="D13" t="s">
        <v>24</v>
      </c>
      <c r="E13" t="s">
        <v>101</v>
      </c>
      <c r="F13" t="s">
        <v>29</v>
      </c>
      <c r="G13" t="s">
        <v>93</v>
      </c>
      <c r="H13" t="s">
        <v>71</v>
      </c>
      <c r="I13" t="s">
        <v>12</v>
      </c>
      <c r="J13" t="s">
        <v>119</v>
      </c>
      <c r="K13" t="s">
        <v>120</v>
      </c>
    </row>
    <row r="14" spans="3:11" x14ac:dyDescent="0.25">
      <c r="C14" t="s">
        <v>73</v>
      </c>
      <c r="D14" t="s">
        <v>50</v>
      </c>
      <c r="E14" t="s">
        <v>74</v>
      </c>
      <c r="F14" t="s">
        <v>59</v>
      </c>
      <c r="G14" t="s">
        <v>89</v>
      </c>
      <c r="H14" t="s">
        <v>75</v>
      </c>
      <c r="I14" t="s">
        <v>121</v>
      </c>
      <c r="J14" t="s">
        <v>105</v>
      </c>
      <c r="K14" t="s">
        <v>122</v>
      </c>
    </row>
    <row r="15" spans="3:11" x14ac:dyDescent="0.25">
      <c r="C15" t="s">
        <v>78</v>
      </c>
      <c r="D15" t="s">
        <v>79</v>
      </c>
      <c r="E15" t="s">
        <v>51</v>
      </c>
      <c r="F15" t="s">
        <v>68</v>
      </c>
      <c r="G15" t="s">
        <v>79</v>
      </c>
      <c r="H15" t="s">
        <v>80</v>
      </c>
      <c r="I15" t="s">
        <v>81</v>
      </c>
      <c r="J15" t="s">
        <v>123</v>
      </c>
      <c r="K15" t="s">
        <v>105</v>
      </c>
    </row>
    <row r="16" spans="3:11" x14ac:dyDescent="0.25">
      <c r="C16" t="s">
        <v>83</v>
      </c>
      <c r="D16" t="s">
        <v>29</v>
      </c>
      <c r="E16" t="s">
        <v>84</v>
      </c>
      <c r="F16" t="s">
        <v>59</v>
      </c>
      <c r="G16" t="s">
        <v>93</v>
      </c>
      <c r="H16" t="s">
        <v>85</v>
      </c>
      <c r="I16" t="s">
        <v>26</v>
      </c>
      <c r="J16" t="s">
        <v>124</v>
      </c>
      <c r="K16" t="s">
        <v>125</v>
      </c>
    </row>
    <row r="17" spans="3:11" x14ac:dyDescent="0.25">
      <c r="C17" t="s">
        <v>87</v>
      </c>
      <c r="D17" t="s">
        <v>43</v>
      </c>
      <c r="E17" t="s">
        <v>88</v>
      </c>
      <c r="F17" t="s">
        <v>89</v>
      </c>
      <c r="G17" t="s">
        <v>43</v>
      </c>
      <c r="H17" t="s">
        <v>53</v>
      </c>
      <c r="I17" t="s">
        <v>81</v>
      </c>
      <c r="J17" t="s">
        <v>126</v>
      </c>
      <c r="K17" t="s">
        <v>105</v>
      </c>
    </row>
    <row r="18" spans="3:11" x14ac:dyDescent="0.25">
      <c r="C18" t="s">
        <v>91</v>
      </c>
      <c r="D18" t="s">
        <v>79</v>
      </c>
      <c r="E18" t="s">
        <v>92</v>
      </c>
      <c r="F18" t="s">
        <v>93</v>
      </c>
      <c r="G18" t="s">
        <v>79</v>
      </c>
      <c r="H18" t="s">
        <v>25</v>
      </c>
      <c r="I18" t="s">
        <v>26</v>
      </c>
      <c r="J18" t="s">
        <v>127</v>
      </c>
      <c r="K18" t="s">
        <v>128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18980-47F0-4F38-9CB5-002303BC71A3}">
  <dimension ref="A1:G17"/>
  <sheetViews>
    <sheetView workbookViewId="0">
      <selection activeCell="C2" sqref="C2:C17"/>
    </sheetView>
  </sheetViews>
  <sheetFormatPr baseColWidth="10" defaultRowHeight="15" x14ac:dyDescent="0.25"/>
  <cols>
    <col min="1" max="1" width="14.7109375" bestFit="1" customWidth="1"/>
    <col min="2" max="2" width="11.140625" bestFit="1" customWidth="1"/>
    <col min="3" max="3" width="26.5703125" bestFit="1" customWidth="1"/>
    <col min="4" max="4" width="11.85546875" bestFit="1" customWidth="1"/>
    <col min="5" max="5" width="25.140625" bestFit="1" customWidth="1"/>
    <col min="6" max="6" width="17.28515625" bestFit="1" customWidth="1"/>
    <col min="7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</row>
    <row r="4" spans="1:7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</row>
    <row r="5" spans="1:7" x14ac:dyDescent="0.25">
      <c r="A5" t="s">
        <v>28</v>
      </c>
      <c r="B5" t="s">
        <v>29</v>
      </c>
      <c r="C5" t="s">
        <v>30</v>
      </c>
      <c r="D5" t="s">
        <v>31</v>
      </c>
      <c r="E5" t="s">
        <v>32</v>
      </c>
      <c r="F5" t="s">
        <v>33</v>
      </c>
      <c r="G5" t="s">
        <v>34</v>
      </c>
    </row>
    <row r="6" spans="1:7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  <c r="F6" t="s">
        <v>40</v>
      </c>
      <c r="G6" t="s">
        <v>41</v>
      </c>
    </row>
    <row r="7" spans="1:7" x14ac:dyDescent="0.25">
      <c r="A7" t="s">
        <v>42</v>
      </c>
      <c r="B7" t="s">
        <v>43</v>
      </c>
      <c r="C7" t="s">
        <v>44</v>
      </c>
      <c r="D7" t="s">
        <v>45</v>
      </c>
      <c r="E7" t="s">
        <v>46</v>
      </c>
      <c r="F7" t="s">
        <v>47</v>
      </c>
      <c r="G7" t="s">
        <v>48</v>
      </c>
    </row>
    <row r="8" spans="1:7" x14ac:dyDescent="0.25">
      <c r="A8" t="s">
        <v>49</v>
      </c>
      <c r="B8" t="s">
        <v>50</v>
      </c>
      <c r="C8" t="s">
        <v>51</v>
      </c>
      <c r="D8" t="s">
        <v>52</v>
      </c>
      <c r="E8" t="s">
        <v>53</v>
      </c>
      <c r="F8" t="s">
        <v>54</v>
      </c>
      <c r="G8" t="s">
        <v>55</v>
      </c>
    </row>
    <row r="9" spans="1:7" x14ac:dyDescent="0.25">
      <c r="A9" t="s">
        <v>56</v>
      </c>
      <c r="B9" t="s">
        <v>57</v>
      </c>
      <c r="C9" t="s">
        <v>58</v>
      </c>
      <c r="D9" t="s">
        <v>59</v>
      </c>
      <c r="E9" t="s">
        <v>60</v>
      </c>
      <c r="F9" t="s">
        <v>26</v>
      </c>
      <c r="G9" t="s">
        <v>61</v>
      </c>
    </row>
    <row r="10" spans="1:7" x14ac:dyDescent="0.25">
      <c r="A10" t="s">
        <v>62</v>
      </c>
      <c r="B10" t="s">
        <v>8</v>
      </c>
      <c r="C10" t="s">
        <v>63</v>
      </c>
      <c r="D10" t="s">
        <v>15</v>
      </c>
      <c r="E10" t="s">
        <v>64</v>
      </c>
      <c r="F10" t="s">
        <v>33</v>
      </c>
      <c r="G10" t="s">
        <v>65</v>
      </c>
    </row>
    <row r="11" spans="1:7" x14ac:dyDescent="0.25">
      <c r="A11" t="s">
        <v>66</v>
      </c>
      <c r="B11" t="s">
        <v>36</v>
      </c>
      <c r="C11" t="s">
        <v>67</v>
      </c>
      <c r="D11" t="s">
        <v>68</v>
      </c>
      <c r="E11" t="s">
        <v>18</v>
      </c>
      <c r="F11" t="s">
        <v>19</v>
      </c>
      <c r="G11" t="s">
        <v>69</v>
      </c>
    </row>
    <row r="12" spans="1:7" x14ac:dyDescent="0.25">
      <c r="A12" t="s">
        <v>70</v>
      </c>
      <c r="B12" t="s">
        <v>24</v>
      </c>
      <c r="C12" t="s">
        <v>101</v>
      </c>
      <c r="D12" t="s">
        <v>29</v>
      </c>
      <c r="E12" t="s">
        <v>71</v>
      </c>
      <c r="F12" t="s">
        <v>12</v>
      </c>
      <c r="G12" t="s">
        <v>72</v>
      </c>
    </row>
    <row r="13" spans="1:7" x14ac:dyDescent="0.25">
      <c r="A13" t="s">
        <v>73</v>
      </c>
      <c r="B13" t="s">
        <v>50</v>
      </c>
      <c r="C13" t="s">
        <v>74</v>
      </c>
      <c r="D13" t="s">
        <v>59</v>
      </c>
      <c r="E13" t="s">
        <v>75</v>
      </c>
      <c r="F13" t="s">
        <v>76</v>
      </c>
      <c r="G13" t="s">
        <v>77</v>
      </c>
    </row>
    <row r="14" spans="1:7" x14ac:dyDescent="0.25">
      <c r="A14" t="s">
        <v>78</v>
      </c>
      <c r="B14" t="s">
        <v>79</v>
      </c>
      <c r="C14" t="s">
        <v>51</v>
      </c>
      <c r="D14" t="s">
        <v>68</v>
      </c>
      <c r="E14" t="s">
        <v>80</v>
      </c>
      <c r="F14" t="s">
        <v>81</v>
      </c>
      <c r="G14" t="s">
        <v>82</v>
      </c>
    </row>
    <row r="15" spans="1:7" x14ac:dyDescent="0.25">
      <c r="A15" t="s">
        <v>83</v>
      </c>
      <c r="B15" t="s">
        <v>29</v>
      </c>
      <c r="C15" t="s">
        <v>84</v>
      </c>
      <c r="D15" t="s">
        <v>59</v>
      </c>
      <c r="E15" t="s">
        <v>85</v>
      </c>
      <c r="F15" t="s">
        <v>26</v>
      </c>
      <c r="G15" t="s">
        <v>86</v>
      </c>
    </row>
    <row r="16" spans="1:7" x14ac:dyDescent="0.25">
      <c r="A16" t="s">
        <v>87</v>
      </c>
      <c r="B16" t="s">
        <v>43</v>
      </c>
      <c r="C16" t="s">
        <v>88</v>
      </c>
      <c r="D16" t="s">
        <v>89</v>
      </c>
      <c r="E16" t="s">
        <v>53</v>
      </c>
      <c r="F16" t="s">
        <v>81</v>
      </c>
      <c r="G16" t="s">
        <v>90</v>
      </c>
    </row>
    <row r="17" spans="1:7" x14ac:dyDescent="0.25">
      <c r="A17" t="s">
        <v>91</v>
      </c>
      <c r="B17" t="s">
        <v>79</v>
      </c>
      <c r="C17" t="s">
        <v>92</v>
      </c>
      <c r="D17" t="s">
        <v>93</v>
      </c>
      <c r="E17" t="s">
        <v>25</v>
      </c>
      <c r="F17" t="s">
        <v>26</v>
      </c>
      <c r="G17" t="s">
        <v>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ABA2-935D-4FF4-B533-54D37E189555}">
  <dimension ref="A1:E17"/>
  <sheetViews>
    <sheetView workbookViewId="0">
      <selection activeCell="C2" sqref="C2"/>
    </sheetView>
  </sheetViews>
  <sheetFormatPr baseColWidth="10" defaultRowHeight="15" x14ac:dyDescent="0.25"/>
  <sheetData>
    <row r="1" spans="1:5" x14ac:dyDescent="0.25">
      <c r="A1" t="s">
        <v>95</v>
      </c>
    </row>
    <row r="2" spans="1:5" x14ac:dyDescent="0.25">
      <c r="A2">
        <v>49</v>
      </c>
      <c r="B2" s="1" t="s">
        <v>8</v>
      </c>
      <c r="E2" s="1" t="s">
        <v>10</v>
      </c>
    </row>
    <row r="3" spans="1:5" x14ac:dyDescent="0.25">
      <c r="A3">
        <v>50</v>
      </c>
      <c r="B3" s="2" t="s">
        <v>15</v>
      </c>
      <c r="E3" s="2" t="s">
        <v>17</v>
      </c>
    </row>
    <row r="4" spans="1:5" x14ac:dyDescent="0.25">
      <c r="A4">
        <v>51</v>
      </c>
      <c r="B4" s="1" t="s">
        <v>22</v>
      </c>
      <c r="E4" s="1" t="s">
        <v>24</v>
      </c>
    </row>
    <row r="5" spans="1:5" x14ac:dyDescent="0.25">
      <c r="A5">
        <v>52</v>
      </c>
      <c r="B5" s="2" t="s">
        <v>29</v>
      </c>
      <c r="E5" s="2" t="s">
        <v>31</v>
      </c>
    </row>
    <row r="6" spans="1:5" x14ac:dyDescent="0.25">
      <c r="A6">
        <v>53</v>
      </c>
      <c r="B6" s="1" t="s">
        <v>36</v>
      </c>
      <c r="E6" s="1" t="s">
        <v>38</v>
      </c>
    </row>
    <row r="7" spans="1:5" x14ac:dyDescent="0.25">
      <c r="A7">
        <v>54</v>
      </c>
      <c r="B7" s="2" t="s">
        <v>43</v>
      </c>
      <c r="E7" s="2" t="s">
        <v>45</v>
      </c>
    </row>
    <row r="8" spans="1:5" x14ac:dyDescent="0.25">
      <c r="A8">
        <v>55</v>
      </c>
      <c r="B8" s="1" t="s">
        <v>50</v>
      </c>
      <c r="E8" s="1" t="s">
        <v>52</v>
      </c>
    </row>
    <row r="9" spans="1:5" x14ac:dyDescent="0.25">
      <c r="A9">
        <v>56</v>
      </c>
      <c r="B9" s="2" t="s">
        <v>57</v>
      </c>
      <c r="E9" s="2" t="s">
        <v>59</v>
      </c>
    </row>
    <row r="10" spans="1:5" x14ac:dyDescent="0.25">
      <c r="A10">
        <v>57</v>
      </c>
      <c r="B10" s="1" t="s">
        <v>8</v>
      </c>
      <c r="E10" s="1" t="s">
        <v>15</v>
      </c>
    </row>
    <row r="11" spans="1:5" x14ac:dyDescent="0.25">
      <c r="A11">
        <v>58</v>
      </c>
      <c r="B11" s="2" t="s">
        <v>36</v>
      </c>
      <c r="E11" s="2" t="s">
        <v>68</v>
      </c>
    </row>
    <row r="12" spans="1:5" x14ac:dyDescent="0.25">
      <c r="A12">
        <v>59</v>
      </c>
      <c r="B12" s="1" t="s">
        <v>24</v>
      </c>
      <c r="E12" s="1" t="s">
        <v>29</v>
      </c>
    </row>
    <row r="13" spans="1:5" x14ac:dyDescent="0.25">
      <c r="A13">
        <v>60</v>
      </c>
      <c r="B13" s="2" t="s">
        <v>50</v>
      </c>
      <c r="E13" s="2" t="s">
        <v>59</v>
      </c>
    </row>
    <row r="14" spans="1:5" x14ac:dyDescent="0.25">
      <c r="A14">
        <v>61</v>
      </c>
      <c r="B14" s="1" t="s">
        <v>79</v>
      </c>
      <c r="E14" s="1" t="s">
        <v>68</v>
      </c>
    </row>
    <row r="15" spans="1:5" x14ac:dyDescent="0.25">
      <c r="A15">
        <v>62</v>
      </c>
      <c r="B15" s="2" t="s">
        <v>29</v>
      </c>
      <c r="E15" s="2" t="s">
        <v>59</v>
      </c>
    </row>
    <row r="16" spans="1:5" x14ac:dyDescent="0.25">
      <c r="A16">
        <v>63</v>
      </c>
      <c r="B16" s="1" t="s">
        <v>43</v>
      </c>
      <c r="E16" s="1" t="s">
        <v>89</v>
      </c>
    </row>
    <row r="17" spans="1:5" x14ac:dyDescent="0.25">
      <c r="A17">
        <v>64</v>
      </c>
      <c r="B17" s="2" t="s">
        <v>79</v>
      </c>
      <c r="E17" s="2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2051-5C87-4CED-A8FA-C6E2C3B619DE}">
  <dimension ref="C3:C7"/>
  <sheetViews>
    <sheetView workbookViewId="0">
      <selection activeCell="F20" sqref="F20"/>
    </sheetView>
  </sheetViews>
  <sheetFormatPr baseColWidth="10" defaultRowHeight="15" x14ac:dyDescent="0.25"/>
  <sheetData>
    <row r="3" spans="3:3" x14ac:dyDescent="0.25">
      <c r="C3" t="s">
        <v>96</v>
      </c>
    </row>
    <row r="4" spans="3:3" x14ac:dyDescent="0.25">
      <c r="C4" t="s">
        <v>97</v>
      </c>
    </row>
    <row r="5" spans="3:3" x14ac:dyDescent="0.25">
      <c r="C5" t="s">
        <v>98</v>
      </c>
    </row>
    <row r="6" spans="3:3" x14ac:dyDescent="0.25">
      <c r="C6" t="s">
        <v>99</v>
      </c>
    </row>
    <row r="7" spans="3:3" x14ac:dyDescent="0.25">
      <c r="C7" t="s">
        <v>100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201EE-B1D6-4688-8A09-3D6409DD9326}">
  <dimension ref="A1:I34"/>
  <sheetViews>
    <sheetView tabSelected="1" workbookViewId="0">
      <selection activeCell="H19" sqref="H19"/>
    </sheetView>
  </sheetViews>
  <sheetFormatPr baseColWidth="10" defaultRowHeight="15" x14ac:dyDescent="0.25"/>
  <cols>
    <col min="1" max="1" width="14.28515625" bestFit="1" customWidth="1"/>
    <col min="2" max="4" width="24.5703125" bestFit="1" customWidth="1"/>
  </cols>
  <sheetData>
    <row r="1" spans="1:9" x14ac:dyDescent="0.25">
      <c r="A1" t="s">
        <v>139</v>
      </c>
      <c r="B1" t="s">
        <v>140</v>
      </c>
      <c r="C1" t="s">
        <v>141</v>
      </c>
      <c r="D1" t="s">
        <v>142</v>
      </c>
    </row>
    <row r="2" spans="1:9" x14ac:dyDescent="0.25">
      <c r="A2" s="3" t="s">
        <v>168</v>
      </c>
      <c r="B2">
        <v>15000</v>
      </c>
      <c r="C2">
        <v>18000</v>
      </c>
      <c r="D2">
        <v>19000</v>
      </c>
    </row>
    <row r="3" spans="1:9" x14ac:dyDescent="0.25">
      <c r="A3" s="3" t="s">
        <v>172</v>
      </c>
      <c r="B3">
        <v>42000</v>
      </c>
      <c r="C3">
        <v>41000</v>
      </c>
      <c r="D3">
        <v>44000</v>
      </c>
    </row>
    <row r="4" spans="1:9" x14ac:dyDescent="0.25">
      <c r="A4" s="3" t="s">
        <v>173</v>
      </c>
      <c r="B4">
        <v>59000</v>
      </c>
      <c r="C4">
        <v>59000</v>
      </c>
      <c r="D4">
        <v>61000</v>
      </c>
    </row>
    <row r="5" spans="1:9" x14ac:dyDescent="0.25">
      <c r="A5" s="3" t="s">
        <v>163</v>
      </c>
      <c r="B5">
        <v>56000</v>
      </c>
      <c r="C5">
        <v>58000</v>
      </c>
      <c r="D5">
        <v>61000</v>
      </c>
    </row>
    <row r="6" spans="1:9" x14ac:dyDescent="0.25">
      <c r="A6" s="3" t="s">
        <v>151</v>
      </c>
      <c r="B6">
        <v>58000</v>
      </c>
      <c r="C6">
        <v>60000</v>
      </c>
      <c r="D6">
        <v>62000</v>
      </c>
    </row>
    <row r="7" spans="1:9" x14ac:dyDescent="0.25">
      <c r="A7" s="3" t="s">
        <v>152</v>
      </c>
      <c r="B7">
        <v>60000</v>
      </c>
      <c r="C7">
        <v>60000</v>
      </c>
      <c r="D7">
        <v>65000</v>
      </c>
    </row>
    <row r="8" spans="1:9" x14ac:dyDescent="0.25">
      <c r="A8" s="3" t="s">
        <v>134</v>
      </c>
      <c r="B8">
        <v>60000</v>
      </c>
      <c r="C8">
        <v>60000</v>
      </c>
      <c r="D8">
        <v>65000</v>
      </c>
    </row>
    <row r="9" spans="1:9" x14ac:dyDescent="0.25">
      <c r="A9" s="3" t="s">
        <v>161</v>
      </c>
      <c r="B9">
        <v>103000</v>
      </c>
      <c r="C9">
        <v>119000</v>
      </c>
      <c r="D9">
        <v>119000</v>
      </c>
    </row>
    <row r="10" spans="1:9" x14ac:dyDescent="0.25">
      <c r="A10" s="3" t="s">
        <v>166</v>
      </c>
      <c r="B10">
        <v>214000</v>
      </c>
      <c r="C10">
        <v>222000</v>
      </c>
      <c r="D10">
        <v>240000</v>
      </c>
    </row>
    <row r="11" spans="1:9" x14ac:dyDescent="0.25">
      <c r="A11" s="3" t="s">
        <v>154</v>
      </c>
      <c r="B11">
        <v>235000</v>
      </c>
      <c r="C11">
        <v>249000</v>
      </c>
      <c r="D11">
        <v>258000</v>
      </c>
    </row>
    <row r="12" spans="1:9" x14ac:dyDescent="0.25">
      <c r="A12" s="3" t="s">
        <v>153</v>
      </c>
      <c r="B12">
        <v>306000</v>
      </c>
      <c r="C12">
        <v>320000</v>
      </c>
      <c r="D12">
        <v>335000</v>
      </c>
    </row>
    <row r="13" spans="1:9" x14ac:dyDescent="0.25">
      <c r="A13" s="3" t="s">
        <v>149</v>
      </c>
      <c r="B13">
        <v>350000</v>
      </c>
      <c r="C13">
        <v>350000</v>
      </c>
      <c r="D13">
        <v>400000</v>
      </c>
      <c r="G13">
        <v>2017</v>
      </c>
      <c r="H13">
        <v>2018</v>
      </c>
      <c r="I13">
        <v>2019</v>
      </c>
    </row>
    <row r="14" spans="1:9" x14ac:dyDescent="0.25">
      <c r="A14" s="3" t="s">
        <v>162</v>
      </c>
      <c r="B14">
        <v>375000</v>
      </c>
      <c r="C14">
        <v>397000</v>
      </c>
      <c r="D14">
        <v>450000</v>
      </c>
      <c r="F14" s="4" t="s">
        <v>8</v>
      </c>
      <c r="G14" t="s">
        <v>178</v>
      </c>
    </row>
    <row r="15" spans="1:9" x14ac:dyDescent="0.25">
      <c r="A15" s="3" t="s">
        <v>164</v>
      </c>
      <c r="B15">
        <v>350000</v>
      </c>
      <c r="C15">
        <v>440000</v>
      </c>
      <c r="D15">
        <v>470000</v>
      </c>
      <c r="F15" s="5" t="s">
        <v>15</v>
      </c>
    </row>
    <row r="16" spans="1:9" x14ac:dyDescent="0.25">
      <c r="A16" s="3" t="s">
        <v>158</v>
      </c>
      <c r="B16">
        <v>445000</v>
      </c>
      <c r="C16">
        <v>456000</v>
      </c>
      <c r="D16">
        <v>495000</v>
      </c>
      <c r="F16" s="4" t="s">
        <v>22</v>
      </c>
    </row>
    <row r="17" spans="1:6" x14ac:dyDescent="0.25">
      <c r="A17" s="3" t="s">
        <v>171</v>
      </c>
      <c r="B17">
        <v>455000</v>
      </c>
      <c r="C17">
        <v>502000</v>
      </c>
      <c r="D17">
        <v>510000</v>
      </c>
      <c r="F17" s="5" t="s">
        <v>29</v>
      </c>
    </row>
    <row r="18" spans="1:6" x14ac:dyDescent="0.25">
      <c r="A18" s="3" t="s">
        <v>169</v>
      </c>
      <c r="B18">
        <v>555000</v>
      </c>
      <c r="C18">
        <v>561000</v>
      </c>
      <c r="D18">
        <v>577000</v>
      </c>
      <c r="F18" s="4" t="s">
        <v>36</v>
      </c>
    </row>
    <row r="19" spans="1:6" x14ac:dyDescent="0.25">
      <c r="A19" s="3" t="s">
        <v>165</v>
      </c>
      <c r="B19">
        <v>524000</v>
      </c>
      <c r="C19">
        <v>586000</v>
      </c>
      <c r="D19">
        <v>594000</v>
      </c>
      <c r="F19" s="5" t="s">
        <v>43</v>
      </c>
    </row>
    <row r="20" spans="1:6" x14ac:dyDescent="0.25">
      <c r="A20" s="3" t="s">
        <v>145</v>
      </c>
      <c r="B20">
        <v>637000</v>
      </c>
      <c r="C20">
        <v>637000</v>
      </c>
      <c r="D20">
        <v>600000</v>
      </c>
      <c r="F20" s="4" t="s">
        <v>50</v>
      </c>
    </row>
    <row r="21" spans="1:6" x14ac:dyDescent="0.25">
      <c r="A21" s="3" t="s">
        <v>170</v>
      </c>
      <c r="B21">
        <v>703000</v>
      </c>
      <c r="C21">
        <v>715000</v>
      </c>
      <c r="D21">
        <v>720000</v>
      </c>
      <c r="F21" s="5" t="s">
        <v>57</v>
      </c>
    </row>
    <row r="22" spans="1:6" x14ac:dyDescent="0.25">
      <c r="A22" s="3" t="s">
        <v>144</v>
      </c>
      <c r="B22">
        <v>646000</v>
      </c>
      <c r="C22">
        <v>786000</v>
      </c>
      <c r="D22">
        <v>792000</v>
      </c>
      <c r="F22" s="4" t="s">
        <v>8</v>
      </c>
    </row>
    <row r="23" spans="1:6" x14ac:dyDescent="0.25">
      <c r="A23" s="3" t="s">
        <v>160</v>
      </c>
      <c r="B23">
        <v>1151000</v>
      </c>
      <c r="C23">
        <v>1220000</v>
      </c>
      <c r="D23">
        <v>1270000</v>
      </c>
      <c r="F23" s="4" t="s">
        <v>24</v>
      </c>
    </row>
    <row r="24" spans="1:6" x14ac:dyDescent="0.25">
      <c r="A24" s="3" t="s">
        <v>155</v>
      </c>
      <c r="B24">
        <v>1170024</v>
      </c>
      <c r="C24">
        <v>1212276</v>
      </c>
      <c r="D24">
        <v>1300000</v>
      </c>
      <c r="F24" s="4" t="s">
        <v>79</v>
      </c>
    </row>
    <row r="25" spans="1:6" x14ac:dyDescent="0.25">
      <c r="A25" s="3" t="s">
        <v>146</v>
      </c>
      <c r="B25">
        <v>1372000</v>
      </c>
      <c r="C25">
        <v>1430000</v>
      </c>
      <c r="D25">
        <v>1400000</v>
      </c>
      <c r="F25" s="4" t="s">
        <v>10</v>
      </c>
    </row>
    <row r="26" spans="1:6" x14ac:dyDescent="0.25">
      <c r="A26" s="3" t="s">
        <v>167</v>
      </c>
      <c r="B26">
        <v>1300000</v>
      </c>
      <c r="C26">
        <v>1300000</v>
      </c>
      <c r="D26">
        <v>1400000</v>
      </c>
      <c r="F26" s="5" t="s">
        <v>17</v>
      </c>
    </row>
    <row r="27" spans="1:6" x14ac:dyDescent="0.25">
      <c r="A27" s="3" t="s">
        <v>147</v>
      </c>
      <c r="B27">
        <v>1500000</v>
      </c>
      <c r="C27">
        <v>1600000</v>
      </c>
      <c r="D27">
        <v>1500000</v>
      </c>
      <c r="F27" s="5" t="s">
        <v>31</v>
      </c>
    </row>
    <row r="28" spans="1:6" x14ac:dyDescent="0.25">
      <c r="A28" s="3" t="s">
        <v>150</v>
      </c>
      <c r="B28">
        <v>1530000</v>
      </c>
      <c r="C28">
        <v>1630000</v>
      </c>
      <c r="D28">
        <v>1630000</v>
      </c>
      <c r="F28" s="4" t="s">
        <v>38</v>
      </c>
    </row>
    <row r="29" spans="1:6" x14ac:dyDescent="0.25">
      <c r="A29" s="3" t="s">
        <v>148</v>
      </c>
      <c r="B29">
        <v>2055000</v>
      </c>
      <c r="C29">
        <v>2100000</v>
      </c>
      <c r="D29">
        <v>2200000</v>
      </c>
      <c r="F29" s="5" t="s">
        <v>45</v>
      </c>
    </row>
    <row r="30" spans="1:6" x14ac:dyDescent="0.25">
      <c r="A30" s="3" t="s">
        <v>156</v>
      </c>
      <c r="B30">
        <v>2775000</v>
      </c>
      <c r="C30">
        <v>2780000</v>
      </c>
      <c r="D30">
        <v>2700000</v>
      </c>
      <c r="F30" s="4" t="s">
        <v>52</v>
      </c>
    </row>
    <row r="31" spans="1:6" x14ac:dyDescent="0.25">
      <c r="A31" s="3" t="s">
        <v>157</v>
      </c>
      <c r="B31">
        <v>2600000</v>
      </c>
      <c r="C31">
        <v>2700000</v>
      </c>
      <c r="D31">
        <v>2800000</v>
      </c>
      <c r="F31" s="5" t="s">
        <v>59</v>
      </c>
    </row>
    <row r="32" spans="1:6" x14ac:dyDescent="0.25">
      <c r="A32" s="3" t="s">
        <v>143</v>
      </c>
      <c r="B32">
        <v>3693000</v>
      </c>
      <c r="C32">
        <v>3950000</v>
      </c>
      <c r="D32">
        <v>3800000</v>
      </c>
      <c r="F32" s="5" t="s">
        <v>68</v>
      </c>
    </row>
    <row r="33" spans="1:6" x14ac:dyDescent="0.25">
      <c r="A33" s="3" t="s">
        <v>159</v>
      </c>
      <c r="B33">
        <v>4872000</v>
      </c>
      <c r="C33">
        <v>4970000</v>
      </c>
      <c r="D33">
        <v>5000000</v>
      </c>
      <c r="F33" s="4" t="s">
        <v>89</v>
      </c>
    </row>
    <row r="34" spans="1:6" x14ac:dyDescent="0.25">
      <c r="A34" s="3" t="s">
        <v>174</v>
      </c>
      <c r="F34" s="5" t="s">
        <v>93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4EB34-D76A-4D94-968B-8F8A8FD1C963}">
  <dimension ref="A1"/>
  <sheetViews>
    <sheetView workbookViewId="0">
      <selection activeCell="G22" sqref="G22"/>
    </sheetView>
  </sheetViews>
  <sheetFormatPr baseColWidth="10" defaultRowHeight="15" x14ac:dyDescent="0.25"/>
  <cols>
    <col min="3" max="4" width="11.42578125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F4596C-4309-46C7-A7CA-DAA15059C70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cup_finals_21 (2)</vt:lpstr>
      <vt:lpstr>cup_finals_21</vt:lpstr>
      <vt:lpstr>Hoja1</vt:lpstr>
      <vt:lpstr>Hoja2</vt:lpstr>
      <vt:lpstr>actividad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Cinar_Sistemas</dc:creator>
  <cp:lastModifiedBy>Cinar_Sistemas</cp:lastModifiedBy>
  <dcterms:created xsi:type="dcterms:W3CDTF">2025-03-07T02:01:27Z</dcterms:created>
  <dcterms:modified xsi:type="dcterms:W3CDTF">2025-03-12T02:32:06Z</dcterms:modified>
</cp:coreProperties>
</file>